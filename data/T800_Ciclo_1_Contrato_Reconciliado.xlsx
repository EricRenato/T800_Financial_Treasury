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cts" sheetId="1" r:id="rId4"/>
    <sheet state="visible" name="installments" sheetId="2" r:id="rId5"/>
    <sheet state="visible" name="reconciliations" sheetId="3" r:id="rId6"/>
    <sheet state="visible" name="statements" sheetId="4" r:id="rId7"/>
    <sheet state="visible" name="accounting" sheetId="5" r:id="rId8"/>
    <sheet state="visible" name="Account balance" sheetId="6" r:id="rId9"/>
    <sheet state="visible" name="taxes" sheetId="7" r:id="rId10"/>
  </sheets>
  <definedNames/>
  <calcPr/>
  <extLst>
    <ext uri="GoogleSheetsCustomDataVersion2">
      <go:sheetsCustomData xmlns:go="http://customooxmlschemas.google.com/" r:id="rId11" roundtripDataChecksum="KmTFbztGfccJQV52hbyxTpmEhJmU62UI5wVKkrCm39o="/>
    </ext>
  </extLst>
</workbook>
</file>

<file path=xl/sharedStrings.xml><?xml version="1.0" encoding="utf-8"?>
<sst xmlns="http://schemas.openxmlformats.org/spreadsheetml/2006/main" count="148" uniqueCount="82">
  <si>
    <t>contract_id</t>
  </si>
  <si>
    <t>statement_id</t>
  </si>
  <si>
    <t>bank_id</t>
  </si>
  <si>
    <t>asset_type</t>
  </si>
  <si>
    <t>external_ref</t>
  </si>
  <si>
    <t>start_date</t>
  </si>
  <si>
    <t>settlement_date</t>
  </si>
  <si>
    <t>statement_date</t>
  </si>
  <si>
    <t>due_date</t>
  </si>
  <si>
    <t>installment_id</t>
  </si>
  <si>
    <t>reconciliation_id</t>
  </si>
  <si>
    <t>description</t>
  </si>
  <si>
    <t>principal</t>
  </si>
  <si>
    <t>face_amount</t>
  </si>
  <si>
    <t>rate_cdi</t>
  </si>
  <si>
    <t>Reconciled</t>
  </si>
  <si>
    <t>status</t>
  </si>
  <si>
    <t>Date</t>
  </si>
  <si>
    <t>contract_bank</t>
  </si>
  <si>
    <t>contract_id_bank</t>
  </si>
  <si>
    <t>installment_type</t>
  </si>
  <si>
    <t>notes</t>
  </si>
  <si>
    <t>Flow_type</t>
  </si>
  <si>
    <t>amount</t>
  </si>
  <si>
    <t>EXT-001</t>
  </si>
  <si>
    <t>Operation_bank_id</t>
  </si>
  <si>
    <t xml:space="preserve">Reconciled </t>
  </si>
  <si>
    <t>CT-2026-001</t>
  </si>
  <si>
    <t>Itau</t>
  </si>
  <si>
    <t>CDB</t>
  </si>
  <si>
    <t>2026-09-01</t>
  </si>
  <si>
    <t>Bank Certificate of Deposit (CD) Investment Agreement</t>
  </si>
  <si>
    <t>MATCHED</t>
  </si>
  <si>
    <t>ACTIVE</t>
  </si>
  <si>
    <t>APPLICATION</t>
  </si>
  <si>
    <t>ITAU-CDB-998822</t>
  </si>
  <si>
    <t>Out</t>
  </si>
  <si>
    <t>SETTLED</t>
  </si>
  <si>
    <t>Aplicação banco Itau</t>
  </si>
  <si>
    <t>Saida de caixa da CC para aplicacao</t>
  </si>
  <si>
    <t>OP-3108_T800</t>
  </si>
  <si>
    <t>Opening a current account</t>
  </si>
  <si>
    <t>PRINCIPAL_RETURN</t>
  </si>
  <si>
    <t>In</t>
  </si>
  <si>
    <t>PROJECTED</t>
  </si>
  <si>
    <t>Devolucao do principal no vencimento</t>
  </si>
  <si>
    <t>INTEREST</t>
  </si>
  <si>
    <t>Projecao de juros brutos (103.5% CDI)</t>
  </si>
  <si>
    <t>TAX_WITHHELD</t>
  </si>
  <si>
    <t>out</t>
  </si>
  <si>
    <t>Projecao IR retido (17.5% - 365 dias)</t>
  </si>
  <si>
    <t>Bank Fee</t>
  </si>
  <si>
    <t>Sale of systemic and financial consulting</t>
  </si>
  <si>
    <t>entry_id</t>
  </si>
  <si>
    <t>entry_type</t>
  </si>
  <si>
    <t>Accouting_Date</t>
  </si>
  <si>
    <t>accounting account</t>
  </si>
  <si>
    <t>D</t>
  </si>
  <si>
    <t>C</t>
  </si>
  <si>
    <t>acoounting_id</t>
  </si>
  <si>
    <t>CASH_SETTLEMENT</t>
  </si>
  <si>
    <t>1.1.2.01 - Aplicacoes Financeiras CDB</t>
  </si>
  <si>
    <t>Liquidacao de aplicacao CDB Itau  CT-2026-001</t>
  </si>
  <si>
    <t>1.1.1.01 - Banco Itau Conta Movimento</t>
  </si>
  <si>
    <t>MONTHLY_ACCRUAL</t>
  </si>
  <si>
    <t>2026-09-30</t>
  </si>
  <si>
    <t>1.1.2.02 - Juros a Receber s/ Aplicacoes</t>
  </si>
  <si>
    <t>Apropriacao Liquidacao de aplicacao CDB Itau  CT-2026-001</t>
  </si>
  <si>
    <t>3.1.1.01 - Receita Financeira de Juros</t>
  </si>
  <si>
    <t>Account_bank_id</t>
  </si>
  <si>
    <t>bank</t>
  </si>
  <si>
    <t>Balance</t>
  </si>
  <si>
    <t>tax_type</t>
  </si>
  <si>
    <t>min_days</t>
  </si>
  <si>
    <t>max_days</t>
  </si>
  <si>
    <t>rate_pct</t>
  </si>
  <si>
    <t>IR</t>
  </si>
  <si>
    <t>Ate 180 dias corridos</t>
  </si>
  <si>
    <t>De 181 a 360 dias corridos</t>
  </si>
  <si>
    <t>De 361 a 720 dias corridos (aplicavel ao contrato: 365 dias)</t>
  </si>
  <si>
    <t>Acima de 720 dias corridos</t>
  </si>
  <si>
    <t>IOF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</si>
</sst>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$]#,##0.00"/>
    <numFmt numFmtId="166" formatCode="#,##0&quot;$&quot;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2" fillId="0" fontId="2" numFmtId="0" xfId="0" applyAlignment="1" applyBorder="1" applyFont="1">
      <alignment horizontal="left" vertical="center"/>
    </xf>
    <xf borderId="2" fillId="0" fontId="2" numFmtId="164" xfId="0" applyAlignment="1" applyBorder="1" applyFont="1" applyNumberFormat="1">
      <alignment horizontal="left" vertical="center"/>
    </xf>
    <xf borderId="2" fillId="0" fontId="2" numFmtId="164" xfId="0" applyAlignment="1" applyBorder="1" applyFont="1" applyNumberFormat="1">
      <alignment horizontal="left" readingOrder="0" vertical="center"/>
    </xf>
    <xf borderId="0" fillId="0" fontId="3" numFmtId="0" xfId="0" applyFont="1"/>
    <xf borderId="2" fillId="0" fontId="2" numFmtId="4" xfId="0" applyBorder="1" applyFont="1" applyNumberFormat="1"/>
    <xf borderId="2" fillId="0" fontId="2" numFmtId="0" xfId="0" applyBorder="1" applyFont="1"/>
    <xf borderId="0" fillId="0" fontId="3" numFmtId="165" xfId="0" applyFont="1" applyNumberFormat="1"/>
    <xf borderId="0" fillId="0" fontId="3" numFmtId="4" xfId="0" applyFont="1" applyNumberFormat="1"/>
    <xf borderId="0" fillId="0" fontId="4" numFmtId="0" xfId="0" applyFon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4" width="14.0"/>
    <col customWidth="1" min="5" max="5" width="19.0"/>
    <col customWidth="1" min="6" max="6" width="14.0"/>
    <col customWidth="1" min="7" max="7" width="13.0"/>
    <col customWidth="1" min="8" max="9" width="12.0"/>
    <col customWidth="1" min="10" max="10" width="19.0"/>
    <col customWidth="1" min="11" max="11" width="16.29"/>
    <col customWidth="1" min="12" max="12" width="18.71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12</v>
      </c>
      <c r="H1" s="1" t="s">
        <v>14</v>
      </c>
      <c r="I1" s="1" t="s">
        <v>16</v>
      </c>
      <c r="J1" s="1" t="s">
        <v>18</v>
      </c>
      <c r="K1" s="1" t="s">
        <v>19</v>
      </c>
      <c r="L1" s="1" t="s">
        <v>21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27</v>
      </c>
      <c r="B2" s="3" t="s">
        <v>28</v>
      </c>
      <c r="C2" s="3" t="s">
        <v>29</v>
      </c>
      <c r="D2" s="5">
        <v>46266.0</v>
      </c>
      <c r="E2" s="5">
        <v>46266.0</v>
      </c>
      <c r="F2" s="5">
        <v>46631.0</v>
      </c>
      <c r="G2" s="7">
        <v>1000000.0</v>
      </c>
      <c r="H2" s="7">
        <v>103.5</v>
      </c>
      <c r="I2" s="3" t="s">
        <v>33</v>
      </c>
      <c r="J2" s="3" t="s">
        <v>35</v>
      </c>
      <c r="K2" s="8" t="s">
        <v>27</v>
      </c>
      <c r="L2" s="6" t="s">
        <v>38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5.0"/>
    <col customWidth="1" min="3" max="3" width="8.14"/>
    <col customWidth="1" min="4" max="4" width="20.0"/>
    <col customWidth="1" min="5" max="7" width="14.0"/>
    <col customWidth="1" min="8" max="8" width="13.0"/>
    <col customWidth="1" min="9" max="9" width="41.0"/>
  </cols>
  <sheetData>
    <row r="1">
      <c r="A1" s="1" t="s">
        <v>9</v>
      </c>
      <c r="B1" s="1" t="s">
        <v>0</v>
      </c>
      <c r="C1" s="1" t="s">
        <v>2</v>
      </c>
      <c r="D1" s="1" t="s">
        <v>20</v>
      </c>
      <c r="E1" s="1" t="s">
        <v>8</v>
      </c>
      <c r="F1" s="1" t="s">
        <v>22</v>
      </c>
      <c r="G1" s="1" t="s">
        <v>23</v>
      </c>
      <c r="H1" s="1" t="s">
        <v>16</v>
      </c>
      <c r="I1" s="1" t="s">
        <v>21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>
        <v>1.0</v>
      </c>
      <c r="B2" s="3" t="s">
        <v>27</v>
      </c>
      <c r="C2" s="3" t="s">
        <v>28</v>
      </c>
      <c r="D2" s="3" t="s">
        <v>34</v>
      </c>
      <c r="E2" s="4">
        <v>46266.0</v>
      </c>
      <c r="F2" s="7" t="s">
        <v>36</v>
      </c>
      <c r="G2" s="7">
        <v>-1000000.0</v>
      </c>
      <c r="H2" s="3" t="s">
        <v>37</v>
      </c>
      <c r="I2" s="3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>
        <v>2.0</v>
      </c>
      <c r="B3" s="3" t="s">
        <v>27</v>
      </c>
      <c r="C3" s="3" t="s">
        <v>28</v>
      </c>
      <c r="D3" s="3" t="s">
        <v>42</v>
      </c>
      <c r="E3" s="4">
        <v>46631.0</v>
      </c>
      <c r="F3" s="7" t="s">
        <v>43</v>
      </c>
      <c r="G3" s="7">
        <v>1000000.0</v>
      </c>
      <c r="H3" s="3" t="s">
        <v>44</v>
      </c>
      <c r="I3" s="3" t="s">
        <v>45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>
        <v>3.0</v>
      </c>
      <c r="B4" s="3" t="s">
        <v>27</v>
      </c>
      <c r="C4" s="3" t="s">
        <v>28</v>
      </c>
      <c r="D4" s="3" t="s">
        <v>46</v>
      </c>
      <c r="E4" s="4">
        <v>46631.0</v>
      </c>
      <c r="F4" s="7" t="s">
        <v>43</v>
      </c>
      <c r="G4" s="7">
        <v>108675.0</v>
      </c>
      <c r="H4" s="3" t="s">
        <v>44</v>
      </c>
      <c r="I4" s="3" t="s">
        <v>47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4.0</v>
      </c>
      <c r="B5" s="3" t="s">
        <v>27</v>
      </c>
      <c r="C5" s="3" t="s">
        <v>28</v>
      </c>
      <c r="D5" s="3" t="s">
        <v>48</v>
      </c>
      <c r="E5" s="4">
        <v>46631.0</v>
      </c>
      <c r="F5" s="7" t="s">
        <v>49</v>
      </c>
      <c r="G5" s="7">
        <v>-19018.13</v>
      </c>
      <c r="H5" s="3" t="s">
        <v>44</v>
      </c>
      <c r="I5" s="3" t="s">
        <v>50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5.0"/>
    <col customWidth="1" min="3" max="3" width="8.14"/>
    <col customWidth="1" min="4" max="4" width="15.0"/>
    <col customWidth="1" min="5" max="5" width="13.57"/>
    <col customWidth="1" min="6" max="6" width="31.0"/>
    <col customWidth="1" min="7" max="7" width="13.29"/>
    <col customWidth="1" min="8" max="8" width="19.0"/>
    <col customWidth="1" min="9" max="9" width="23.0"/>
    <col customWidth="1" min="10" max="28" width="8.71"/>
  </cols>
  <sheetData>
    <row r="1">
      <c r="A1" s="1" t="s">
        <v>10</v>
      </c>
      <c r="B1" s="1" t="s">
        <v>17</v>
      </c>
      <c r="C1" s="1" t="s">
        <v>2</v>
      </c>
      <c r="D1" s="1" t="s">
        <v>0</v>
      </c>
      <c r="E1" s="1" t="s">
        <v>9</v>
      </c>
      <c r="F1" s="1" t="s">
        <v>11</v>
      </c>
      <c r="G1" s="1" t="s">
        <v>23</v>
      </c>
      <c r="H1" s="1" t="s">
        <v>25</v>
      </c>
      <c r="I1" s="1" t="s">
        <v>26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7">
        <v>12.0</v>
      </c>
      <c r="B2" s="4">
        <v>46265.0</v>
      </c>
      <c r="C2" s="3" t="s">
        <v>28</v>
      </c>
      <c r="D2" s="3" t="s">
        <v>40</v>
      </c>
      <c r="E2" s="3"/>
      <c r="F2" s="3" t="s">
        <v>41</v>
      </c>
      <c r="G2" s="9">
        <v>3500000.0</v>
      </c>
      <c r="H2" s="8">
        <v>33225.0</v>
      </c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7">
        <v>13.0</v>
      </c>
      <c r="B3" s="4">
        <f>installments!E2</f>
        <v>46266</v>
      </c>
      <c r="C3" s="3" t="s">
        <v>28</v>
      </c>
      <c r="D3" s="6" t="str">
        <f>installments!B2</f>
        <v>CT-2026-001</v>
      </c>
      <c r="E3" s="10">
        <f>installments!A2</f>
        <v>1</v>
      </c>
      <c r="F3" s="6" t="str">
        <f>installments!I2</f>
        <v>Saida de caixa da CC para aplicacao</v>
      </c>
      <c r="G3" s="9">
        <f>installments!G2</f>
        <v>-1000000</v>
      </c>
      <c r="H3" s="6">
        <v>32266.0</v>
      </c>
      <c r="I3" s="11" t="s">
        <v>32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7">
        <v>14.0</v>
      </c>
      <c r="B4" s="4">
        <f>installments!E3</f>
        <v>46631</v>
      </c>
      <c r="C4" s="3" t="s">
        <v>28</v>
      </c>
      <c r="D4" s="3" t="s">
        <v>40</v>
      </c>
      <c r="E4" s="2"/>
      <c r="F4" s="6" t="s">
        <v>51</v>
      </c>
      <c r="G4" s="9">
        <v>-5.0</v>
      </c>
      <c r="H4" s="8">
        <v>31307.0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7">
        <v>15.0</v>
      </c>
      <c r="B5" s="4">
        <f>installments!E4</f>
        <v>46631</v>
      </c>
      <c r="C5" s="3" t="s">
        <v>28</v>
      </c>
      <c r="D5" s="3" t="s">
        <v>40</v>
      </c>
      <c r="E5" s="2"/>
      <c r="F5" s="6" t="s">
        <v>52</v>
      </c>
      <c r="G5" s="9">
        <v>350.0</v>
      </c>
      <c r="H5" s="8">
        <v>30348.0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7"/>
      <c r="B6" s="2"/>
      <c r="C6" s="2"/>
      <c r="D6" s="2"/>
      <c r="E6" s="2"/>
      <c r="F6" s="2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7"/>
      <c r="B7" s="2"/>
      <c r="C7" s="2"/>
      <c r="D7" s="2"/>
      <c r="E7" s="2"/>
      <c r="F7" s="2"/>
      <c r="G7" s="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/>
      <c r="B8" s="2"/>
      <c r="C8" s="2"/>
      <c r="D8" s="2"/>
      <c r="E8" s="2"/>
      <c r="F8" s="2"/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"/>
      <c r="B9" s="2"/>
      <c r="C9" s="2"/>
      <c r="D9" s="2"/>
      <c r="E9" s="2"/>
      <c r="F9" s="2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/>
      <c r="B10" s="2"/>
      <c r="C10" s="2"/>
      <c r="D10" s="2"/>
      <c r="E10" s="2"/>
      <c r="F10" s="2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"/>
      <c r="C11" s="2"/>
      <c r="D11" s="2"/>
      <c r="E11" s="2"/>
      <c r="F11" s="2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6"/>
      <c r="B12" s="6"/>
      <c r="C12" s="6"/>
      <c r="D12" s="6"/>
      <c r="E12" s="6"/>
      <c r="F12" s="6"/>
      <c r="G12" s="9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"/>
      <c r="B13" s="2"/>
      <c r="C13" s="2"/>
      <c r="D13" s="2"/>
      <c r="E13" s="2"/>
      <c r="F13" s="2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/>
      <c r="B14" s="2"/>
      <c r="C14" s="2"/>
      <c r="D14" s="2"/>
      <c r="E14" s="2"/>
      <c r="F14" s="2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/>
      <c r="B15" s="2"/>
      <c r="C15" s="2"/>
      <c r="D15" s="2"/>
      <c r="E15" s="2"/>
      <c r="F15" s="2"/>
      <c r="G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/>
      <c r="B16" s="2"/>
      <c r="C16" s="2"/>
      <c r="D16" s="2"/>
      <c r="E16" s="2"/>
      <c r="F16" s="2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/>
      <c r="B17" s="2"/>
      <c r="C17" s="2"/>
      <c r="D17" s="2"/>
      <c r="E17" s="2"/>
      <c r="F17" s="2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2"/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customHeight="1">
      <c r="A21" s="2"/>
      <c r="B21" s="2"/>
      <c r="C21" s="2"/>
      <c r="D21" s="2"/>
      <c r="E21" s="2"/>
      <c r="F21" s="2"/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customHeight="1">
      <c r="A22" s="2"/>
      <c r="B22" s="2"/>
      <c r="C22" s="2"/>
      <c r="D22" s="2"/>
      <c r="E22" s="2"/>
      <c r="F22" s="2"/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customHeight="1">
      <c r="A23" s="2"/>
      <c r="B23" s="2"/>
      <c r="C23" s="2"/>
      <c r="D23" s="2"/>
      <c r="E23" s="2"/>
      <c r="F23" s="2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customHeight="1">
      <c r="A24" s="2"/>
      <c r="B24" s="2"/>
      <c r="C24" s="2"/>
      <c r="D24" s="2"/>
      <c r="E24" s="2"/>
      <c r="F24" s="2"/>
      <c r="G24" s="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2"/>
      <c r="B25" s="2"/>
      <c r="C25" s="2"/>
      <c r="D25" s="2"/>
      <c r="E25" s="2"/>
      <c r="F25" s="2"/>
      <c r="G25" s="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2"/>
      <c r="B26" s="2"/>
      <c r="C26" s="2"/>
      <c r="D26" s="2"/>
      <c r="E26" s="2"/>
      <c r="F26" s="2"/>
      <c r="G26" s="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/>
      <c r="B27" s="2"/>
      <c r="C27" s="2"/>
      <c r="D27" s="2"/>
      <c r="E27" s="2"/>
      <c r="F27" s="2"/>
      <c r="G27" s="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2"/>
      <c r="C28" s="2"/>
      <c r="D28" s="2"/>
      <c r="E28" s="2"/>
      <c r="F28" s="2"/>
      <c r="G28" s="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2"/>
      <c r="C29" s="2"/>
      <c r="D29" s="2"/>
      <c r="E29" s="2"/>
      <c r="F29" s="2"/>
      <c r="G29" s="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2"/>
      <c r="C30" s="2"/>
      <c r="D30" s="2"/>
      <c r="E30" s="2"/>
      <c r="F30" s="2"/>
      <c r="G30" s="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2"/>
      <c r="C31" s="2"/>
      <c r="D31" s="2"/>
      <c r="E31" s="2"/>
      <c r="F31" s="2"/>
      <c r="G31" s="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2"/>
      <c r="C32" s="2"/>
      <c r="D32" s="2"/>
      <c r="E32" s="2"/>
      <c r="F32" s="2"/>
      <c r="G32" s="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2"/>
      <c r="C33" s="2"/>
      <c r="D33" s="2"/>
      <c r="E33" s="2"/>
      <c r="F33" s="2"/>
      <c r="G33" s="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/>
      <c r="B34" s="2"/>
      <c r="C34" s="2"/>
      <c r="D34" s="2"/>
      <c r="E34" s="2"/>
      <c r="F34" s="2"/>
      <c r="G34" s="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/>
      <c r="B35" s="2"/>
      <c r="C35" s="2"/>
      <c r="D35" s="2"/>
      <c r="E35" s="2"/>
      <c r="F35" s="2"/>
      <c r="G35" s="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2"/>
      <c r="C36" s="2"/>
      <c r="D36" s="2"/>
      <c r="E36" s="2"/>
      <c r="F36" s="2"/>
      <c r="G36" s="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2"/>
      <c r="C37" s="2"/>
      <c r="D37" s="2"/>
      <c r="E37" s="2"/>
      <c r="F37" s="2"/>
      <c r="G37" s="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2"/>
      <c r="C38" s="2"/>
      <c r="D38" s="2"/>
      <c r="E38" s="2"/>
      <c r="F38" s="2"/>
      <c r="G38" s="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"/>
      <c r="C39" s="2"/>
      <c r="D39" s="2"/>
      <c r="E39" s="2"/>
      <c r="F39" s="2"/>
      <c r="G39" s="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/>
      <c r="C40" s="2"/>
      <c r="D40" s="2"/>
      <c r="E40" s="2"/>
      <c r="F40" s="2"/>
      <c r="G40" s="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/>
      <c r="C41" s="2"/>
      <c r="D41" s="2"/>
      <c r="E41" s="2"/>
      <c r="F41" s="2"/>
      <c r="G41" s="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"/>
      <c r="C42" s="2"/>
      <c r="D42" s="2"/>
      <c r="E42" s="2"/>
      <c r="F42" s="2"/>
      <c r="G42" s="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2"/>
      <c r="F43" s="2"/>
      <c r="G43" s="9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/>
      <c r="B44" s="2"/>
      <c r="C44" s="2"/>
      <c r="D44" s="2"/>
      <c r="E44" s="2"/>
      <c r="F44" s="2"/>
      <c r="G44" s="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/>
      <c r="B45" s="2"/>
      <c r="C45" s="2"/>
      <c r="D45" s="2"/>
      <c r="E45" s="2"/>
      <c r="F45" s="2"/>
      <c r="G45" s="9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/>
      <c r="B46" s="2"/>
      <c r="C46" s="2"/>
      <c r="D46" s="2"/>
      <c r="E46" s="2"/>
      <c r="F46" s="2"/>
      <c r="G46" s="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/>
      <c r="B47" s="2"/>
      <c r="C47" s="2"/>
      <c r="D47" s="2"/>
      <c r="E47" s="2"/>
      <c r="F47" s="2"/>
      <c r="G47" s="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/>
      <c r="B48" s="2"/>
      <c r="C48" s="2"/>
      <c r="D48" s="2"/>
      <c r="E48" s="2"/>
      <c r="F48" s="2"/>
      <c r="G48" s="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/>
      <c r="B49" s="2"/>
      <c r="C49" s="2"/>
      <c r="D49" s="2"/>
      <c r="E49" s="2"/>
      <c r="F49" s="2"/>
      <c r="G49" s="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/>
      <c r="B50" s="2"/>
      <c r="C50" s="2"/>
      <c r="D50" s="2"/>
      <c r="E50" s="2"/>
      <c r="F50" s="2"/>
      <c r="G50" s="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/>
      <c r="B51" s="2"/>
      <c r="C51" s="2"/>
      <c r="D51" s="2"/>
      <c r="E51" s="2"/>
      <c r="F51" s="2"/>
      <c r="G51" s="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2"/>
      <c r="D52" s="2"/>
      <c r="E52" s="2"/>
      <c r="F52" s="2"/>
      <c r="G52" s="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2"/>
      <c r="B53" s="2"/>
      <c r="C53" s="2"/>
      <c r="D53" s="2"/>
      <c r="E53" s="2"/>
      <c r="F53" s="2"/>
      <c r="G53" s="9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/>
      <c r="B54" s="2"/>
      <c r="C54" s="2"/>
      <c r="D54" s="2"/>
      <c r="E54" s="2"/>
      <c r="F54" s="2"/>
      <c r="G54" s="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/>
      <c r="B55" s="2"/>
      <c r="C55" s="2"/>
      <c r="D55" s="2"/>
      <c r="E55" s="2"/>
      <c r="F55" s="2"/>
      <c r="G55" s="9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2"/>
      <c r="D56" s="2"/>
      <c r="E56" s="2"/>
      <c r="F56" s="2"/>
      <c r="G56" s="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2"/>
      <c r="B57" s="2"/>
      <c r="C57" s="2"/>
      <c r="D57" s="2"/>
      <c r="E57" s="2"/>
      <c r="F57" s="2"/>
      <c r="G57" s="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/>
      <c r="B58" s="2"/>
      <c r="C58" s="2"/>
      <c r="D58" s="2"/>
      <c r="E58" s="2"/>
      <c r="F58" s="2"/>
      <c r="G58" s="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/>
      <c r="B59" s="2"/>
      <c r="C59" s="2"/>
      <c r="D59" s="2"/>
      <c r="E59" s="2"/>
      <c r="F59" s="2"/>
      <c r="G59" s="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/>
      <c r="B60" s="2"/>
      <c r="C60" s="2"/>
      <c r="D60" s="2"/>
      <c r="E60" s="2"/>
      <c r="F60" s="2"/>
      <c r="G60" s="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/>
      <c r="B61" s="2"/>
      <c r="C61" s="2"/>
      <c r="D61" s="2"/>
      <c r="E61" s="2"/>
      <c r="F61" s="2"/>
      <c r="G61" s="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/>
      <c r="B62" s="2"/>
      <c r="C62" s="2"/>
      <c r="D62" s="2"/>
      <c r="E62" s="2"/>
      <c r="F62" s="2"/>
      <c r="G62" s="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/>
      <c r="B63" s="2"/>
      <c r="C63" s="2"/>
      <c r="D63" s="2"/>
      <c r="E63" s="2"/>
      <c r="F63" s="2"/>
      <c r="G63" s="9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2"/>
      <c r="B64" s="2"/>
      <c r="C64" s="2"/>
      <c r="D64" s="2"/>
      <c r="E64" s="2"/>
      <c r="F64" s="2"/>
      <c r="G64" s="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2"/>
      <c r="B65" s="2"/>
      <c r="C65" s="2"/>
      <c r="D65" s="2"/>
      <c r="E65" s="2"/>
      <c r="F65" s="2"/>
      <c r="G65" s="9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2"/>
      <c r="B66" s="2"/>
      <c r="C66" s="2"/>
      <c r="D66" s="2"/>
      <c r="E66" s="2"/>
      <c r="F66" s="2"/>
      <c r="G66" s="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2"/>
      <c r="B67" s="2"/>
      <c r="C67" s="2"/>
      <c r="D67" s="2"/>
      <c r="E67" s="2"/>
      <c r="F67" s="2"/>
      <c r="G67" s="9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/>
      <c r="B68" s="2"/>
      <c r="C68" s="2"/>
      <c r="D68" s="2"/>
      <c r="E68" s="2"/>
      <c r="F68" s="2"/>
      <c r="G68" s="9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/>
      <c r="B69" s="2"/>
      <c r="C69" s="2"/>
      <c r="D69" s="2"/>
      <c r="E69" s="2"/>
      <c r="F69" s="2"/>
      <c r="G69" s="9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/>
      <c r="B70" s="2"/>
      <c r="C70" s="2"/>
      <c r="D70" s="2"/>
      <c r="E70" s="2"/>
      <c r="F70" s="2"/>
      <c r="G70" s="9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/>
      <c r="B71" s="2"/>
      <c r="C71" s="2"/>
      <c r="D71" s="2"/>
      <c r="E71" s="2"/>
      <c r="F71" s="2"/>
      <c r="G71" s="9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/>
      <c r="B72" s="2"/>
      <c r="C72" s="2"/>
      <c r="D72" s="2"/>
      <c r="E72" s="2"/>
      <c r="F72" s="2"/>
      <c r="G72" s="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2"/>
      <c r="D73" s="2"/>
      <c r="E73" s="2"/>
      <c r="F73" s="2"/>
      <c r="G73" s="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2"/>
      <c r="B74" s="2"/>
      <c r="C74" s="2"/>
      <c r="D74" s="2"/>
      <c r="E74" s="2"/>
      <c r="F74" s="2"/>
      <c r="G74" s="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/>
      <c r="B75" s="2"/>
      <c r="C75" s="2"/>
      <c r="D75" s="2"/>
      <c r="E75" s="2"/>
      <c r="F75" s="2"/>
      <c r="G75" s="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2"/>
      <c r="C76" s="2"/>
      <c r="D76" s="2"/>
      <c r="E76" s="2"/>
      <c r="F76" s="2"/>
      <c r="G76" s="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/>
      <c r="B77" s="2"/>
      <c r="C77" s="2"/>
      <c r="D77" s="2"/>
      <c r="E77" s="2"/>
      <c r="F77" s="2"/>
      <c r="G77" s="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/>
      <c r="B78" s="2"/>
      <c r="C78" s="2"/>
      <c r="D78" s="2"/>
      <c r="E78" s="2"/>
      <c r="F78" s="2"/>
      <c r="G78" s="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/>
      <c r="B79" s="2"/>
      <c r="C79" s="2"/>
      <c r="D79" s="2"/>
      <c r="E79" s="2"/>
      <c r="F79" s="2"/>
      <c r="G79" s="9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2"/>
      <c r="C80" s="2"/>
      <c r="D80" s="2"/>
      <c r="E80" s="2"/>
      <c r="F80" s="2"/>
      <c r="G80" s="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2"/>
      <c r="C81" s="2"/>
      <c r="D81" s="2"/>
      <c r="E81" s="2"/>
      <c r="F81" s="2"/>
      <c r="G81" s="9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2"/>
      <c r="C82" s="2"/>
      <c r="D82" s="2"/>
      <c r="E82" s="2"/>
      <c r="F82" s="2"/>
      <c r="G82" s="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2"/>
      <c r="C83" s="2"/>
      <c r="D83" s="2"/>
      <c r="E83" s="2"/>
      <c r="F83" s="2"/>
      <c r="G83" s="9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2"/>
      <c r="C84" s="2"/>
      <c r="D84" s="2"/>
      <c r="E84" s="2"/>
      <c r="F84" s="2"/>
      <c r="G84" s="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2"/>
      <c r="C85" s="2"/>
      <c r="D85" s="2"/>
      <c r="E85" s="2"/>
      <c r="F85" s="2"/>
      <c r="G85" s="9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2"/>
      <c r="C86" s="2"/>
      <c r="D86" s="2"/>
      <c r="E86" s="2"/>
      <c r="F86" s="2"/>
      <c r="G86" s="9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2"/>
      <c r="C87" s="2"/>
      <c r="D87" s="2"/>
      <c r="E87" s="2"/>
      <c r="F87" s="2"/>
      <c r="G87" s="9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2"/>
      <c r="C88" s="2"/>
      <c r="D88" s="2"/>
      <c r="E88" s="2"/>
      <c r="F88" s="2"/>
      <c r="G88" s="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2"/>
      <c r="C89" s="2"/>
      <c r="D89" s="2"/>
      <c r="E89" s="2"/>
      <c r="F89" s="2"/>
      <c r="G89" s="9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2"/>
      <c r="C90" s="2"/>
      <c r="D90" s="2"/>
      <c r="E90" s="2"/>
      <c r="F90" s="2"/>
      <c r="G90" s="9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2"/>
      <c r="C91" s="2"/>
      <c r="D91" s="2"/>
      <c r="E91" s="2"/>
      <c r="F91" s="2"/>
      <c r="G91" s="9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2"/>
      <c r="C92" s="2"/>
      <c r="D92" s="2"/>
      <c r="E92" s="2"/>
      <c r="F92" s="2"/>
      <c r="G92" s="9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2"/>
      <c r="C93" s="2"/>
      <c r="D93" s="2"/>
      <c r="E93" s="2"/>
      <c r="F93" s="2"/>
      <c r="G93" s="9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2"/>
      <c r="C94" s="2"/>
      <c r="D94" s="2"/>
      <c r="E94" s="2"/>
      <c r="F94" s="2"/>
      <c r="G94" s="9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2"/>
      <c r="C95" s="2"/>
      <c r="D95" s="2"/>
      <c r="E95" s="2"/>
      <c r="F95" s="2"/>
      <c r="G95" s="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2"/>
      <c r="C96" s="2"/>
      <c r="D96" s="2"/>
      <c r="E96" s="2"/>
      <c r="F96" s="2"/>
      <c r="G96" s="9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2"/>
      <c r="C97" s="2"/>
      <c r="D97" s="2"/>
      <c r="E97" s="2"/>
      <c r="F97" s="2"/>
      <c r="G97" s="9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2"/>
      <c r="C98" s="2"/>
      <c r="D98" s="2"/>
      <c r="E98" s="2"/>
      <c r="F98" s="2"/>
      <c r="G98" s="9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2"/>
      <c r="C99" s="2"/>
      <c r="D99" s="2"/>
      <c r="E99" s="2"/>
      <c r="F99" s="2"/>
      <c r="G99" s="9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2"/>
      <c r="C100" s="2"/>
      <c r="D100" s="2"/>
      <c r="E100" s="2"/>
      <c r="F100" s="2"/>
      <c r="G100" s="9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2"/>
      <c r="C101" s="2"/>
      <c r="D101" s="2"/>
      <c r="E101" s="2"/>
      <c r="F101" s="2"/>
      <c r="G101" s="9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2"/>
      <c r="C102" s="2"/>
      <c r="D102" s="2"/>
      <c r="E102" s="2"/>
      <c r="F102" s="2"/>
      <c r="G102" s="9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2"/>
      <c r="C103" s="2"/>
      <c r="D103" s="2"/>
      <c r="E103" s="2"/>
      <c r="F103" s="2"/>
      <c r="G103" s="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2"/>
      <c r="C104" s="2"/>
      <c r="D104" s="2"/>
      <c r="E104" s="2"/>
      <c r="F104" s="2"/>
      <c r="G104" s="9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2"/>
      <c r="C105" s="2"/>
      <c r="D105" s="2"/>
      <c r="E105" s="2"/>
      <c r="F105" s="2"/>
      <c r="G105" s="9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2"/>
      <c r="C106" s="2"/>
      <c r="D106" s="2"/>
      <c r="E106" s="2"/>
      <c r="F106" s="2"/>
      <c r="G106" s="9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2"/>
      <c r="C107" s="2"/>
      <c r="D107" s="2"/>
      <c r="E107" s="2"/>
      <c r="F107" s="2"/>
      <c r="G107" s="9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2"/>
      <c r="C108" s="2"/>
      <c r="D108" s="2"/>
      <c r="E108" s="2"/>
      <c r="F108" s="2"/>
      <c r="G108" s="9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2"/>
      <c r="C109" s="2"/>
      <c r="D109" s="2"/>
      <c r="E109" s="2"/>
      <c r="F109" s="2"/>
      <c r="G109" s="9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2"/>
      <c r="C110" s="2"/>
      <c r="D110" s="2"/>
      <c r="E110" s="2"/>
      <c r="F110" s="2"/>
      <c r="G110" s="9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2"/>
      <c r="C111" s="2"/>
      <c r="D111" s="2"/>
      <c r="E111" s="2"/>
      <c r="F111" s="2"/>
      <c r="G111" s="9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2"/>
      <c r="C112" s="2"/>
      <c r="D112" s="2"/>
      <c r="E112" s="2"/>
      <c r="F112" s="2"/>
      <c r="G112" s="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2"/>
      <c r="C113" s="2"/>
      <c r="D113" s="2"/>
      <c r="E113" s="2"/>
      <c r="F113" s="2"/>
      <c r="G113" s="9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2"/>
      <c r="C114" s="2"/>
      <c r="D114" s="2"/>
      <c r="E114" s="2"/>
      <c r="F114" s="2"/>
      <c r="G114" s="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2"/>
      <c r="C115" s="2"/>
      <c r="D115" s="2"/>
      <c r="E115" s="2"/>
      <c r="F115" s="2"/>
      <c r="G115" s="9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2"/>
      <c r="C116" s="2"/>
      <c r="D116" s="2"/>
      <c r="E116" s="2"/>
      <c r="F116" s="2"/>
      <c r="G116" s="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2"/>
      <c r="C117" s="2"/>
      <c r="D117" s="2"/>
      <c r="E117" s="2"/>
      <c r="F117" s="2"/>
      <c r="G117" s="9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2"/>
      <c r="C118" s="2"/>
      <c r="D118" s="2"/>
      <c r="E118" s="2"/>
      <c r="F118" s="2"/>
      <c r="G118" s="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2"/>
      <c r="C119" s="2"/>
      <c r="D119" s="2"/>
      <c r="E119" s="2"/>
      <c r="F119" s="2"/>
      <c r="G119" s="9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2"/>
      <c r="C120" s="2"/>
      <c r="D120" s="2"/>
      <c r="E120" s="2"/>
      <c r="F120" s="2"/>
      <c r="G120" s="9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2"/>
      <c r="C121" s="2"/>
      <c r="D121" s="2"/>
      <c r="E121" s="2"/>
      <c r="F121" s="2"/>
      <c r="G121" s="9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2"/>
      <c r="C122" s="2"/>
      <c r="D122" s="2"/>
      <c r="E122" s="2"/>
      <c r="F122" s="2"/>
      <c r="G122" s="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2"/>
      <c r="C123" s="2"/>
      <c r="D123" s="2"/>
      <c r="E123" s="2"/>
      <c r="F123" s="2"/>
      <c r="G123" s="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2"/>
      <c r="C124" s="2"/>
      <c r="D124" s="2"/>
      <c r="E124" s="2"/>
      <c r="F124" s="2"/>
      <c r="G124" s="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2"/>
      <c r="C125" s="2"/>
      <c r="D125" s="2"/>
      <c r="E125" s="2"/>
      <c r="F125" s="2"/>
      <c r="G125" s="9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2"/>
      <c r="C126" s="2"/>
      <c r="D126" s="2"/>
      <c r="E126" s="2"/>
      <c r="F126" s="2"/>
      <c r="G126" s="9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2"/>
      <c r="C127" s="2"/>
      <c r="D127" s="2"/>
      <c r="E127" s="2"/>
      <c r="F127" s="2"/>
      <c r="G127" s="9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2"/>
      <c r="C128" s="2"/>
      <c r="D128" s="2"/>
      <c r="E128" s="2"/>
      <c r="F128" s="2"/>
      <c r="G128" s="9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2"/>
      <c r="C129" s="2"/>
      <c r="D129" s="2"/>
      <c r="E129" s="2"/>
      <c r="F129" s="2"/>
      <c r="G129" s="9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2"/>
      <c r="C130" s="2"/>
      <c r="D130" s="2"/>
      <c r="E130" s="2"/>
      <c r="F130" s="2"/>
      <c r="G130" s="9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2"/>
      <c r="C131" s="2"/>
      <c r="D131" s="2"/>
      <c r="E131" s="2"/>
      <c r="F131" s="2"/>
      <c r="G131" s="9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2"/>
      <c r="C132" s="2"/>
      <c r="D132" s="2"/>
      <c r="E132" s="2"/>
      <c r="F132" s="2"/>
      <c r="G132" s="9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2"/>
      <c r="C133" s="2"/>
      <c r="D133" s="2"/>
      <c r="E133" s="2"/>
      <c r="F133" s="2"/>
      <c r="G133" s="9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2"/>
      <c r="C134" s="2"/>
      <c r="D134" s="2"/>
      <c r="E134" s="2"/>
      <c r="F134" s="2"/>
      <c r="G134" s="9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2"/>
      <c r="C135" s="2"/>
      <c r="D135" s="2"/>
      <c r="E135" s="2"/>
      <c r="F135" s="2"/>
      <c r="G135" s="9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2"/>
      <c r="C136" s="2"/>
      <c r="D136" s="2"/>
      <c r="E136" s="2"/>
      <c r="F136" s="2"/>
      <c r="G136" s="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2"/>
      <c r="C137" s="2"/>
      <c r="D137" s="2"/>
      <c r="E137" s="2"/>
      <c r="F137" s="2"/>
      <c r="G137" s="9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2"/>
      <c r="C138" s="2"/>
      <c r="D138" s="2"/>
      <c r="E138" s="2"/>
      <c r="F138" s="2"/>
      <c r="G138" s="9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2"/>
      <c r="C139" s="2"/>
      <c r="D139" s="2"/>
      <c r="E139" s="2"/>
      <c r="F139" s="2"/>
      <c r="G139" s="9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2"/>
      <c r="C140" s="2"/>
      <c r="D140" s="2"/>
      <c r="E140" s="2"/>
      <c r="F140" s="2"/>
      <c r="G140" s="9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2"/>
      <c r="C141" s="2"/>
      <c r="D141" s="2"/>
      <c r="E141" s="2"/>
      <c r="F141" s="2"/>
      <c r="G141" s="9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2"/>
      <c r="C142" s="2"/>
      <c r="D142" s="2"/>
      <c r="E142" s="2"/>
      <c r="F142" s="2"/>
      <c r="G142" s="9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2"/>
      <c r="C143" s="2"/>
      <c r="D143" s="2"/>
      <c r="E143" s="2"/>
      <c r="F143" s="2"/>
      <c r="G143" s="9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2"/>
      <c r="C144" s="2"/>
      <c r="D144" s="2"/>
      <c r="E144" s="2"/>
      <c r="F144" s="2"/>
      <c r="G144" s="9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2"/>
      <c r="C145" s="2"/>
      <c r="D145" s="2"/>
      <c r="E145" s="2"/>
      <c r="F145" s="2"/>
      <c r="G145" s="9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2"/>
      <c r="C146" s="2"/>
      <c r="D146" s="2"/>
      <c r="E146" s="2"/>
      <c r="F146" s="2"/>
      <c r="G146" s="9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2"/>
      <c r="C147" s="2"/>
      <c r="D147" s="2"/>
      <c r="E147" s="2"/>
      <c r="F147" s="2"/>
      <c r="G147" s="9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2"/>
      <c r="C148" s="2"/>
      <c r="D148" s="2"/>
      <c r="E148" s="2"/>
      <c r="F148" s="2"/>
      <c r="G148" s="9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2"/>
      <c r="C149" s="2"/>
      <c r="D149" s="2"/>
      <c r="E149" s="2"/>
      <c r="F149" s="2"/>
      <c r="G149" s="9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2"/>
      <c r="C150" s="2"/>
      <c r="D150" s="2"/>
      <c r="E150" s="2"/>
      <c r="F150" s="2"/>
      <c r="G150" s="9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2"/>
      <c r="C151" s="2"/>
      <c r="D151" s="2"/>
      <c r="E151" s="2"/>
      <c r="F151" s="2"/>
      <c r="G151" s="9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2"/>
      <c r="C152" s="2"/>
      <c r="D152" s="2"/>
      <c r="E152" s="2"/>
      <c r="F152" s="2"/>
      <c r="G152" s="9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2"/>
      <c r="C153" s="2"/>
      <c r="D153" s="2"/>
      <c r="E153" s="2"/>
      <c r="F153" s="2"/>
      <c r="G153" s="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2"/>
      <c r="C154" s="2"/>
      <c r="D154" s="2"/>
      <c r="E154" s="2"/>
      <c r="F154" s="2"/>
      <c r="G154" s="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2"/>
      <c r="C155" s="2"/>
      <c r="D155" s="2"/>
      <c r="E155" s="2"/>
      <c r="F155" s="2"/>
      <c r="G155" s="9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2"/>
      <c r="C156" s="2"/>
      <c r="D156" s="2"/>
      <c r="E156" s="2"/>
      <c r="F156" s="2"/>
      <c r="G156" s="9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2"/>
      <c r="C157" s="2"/>
      <c r="D157" s="2"/>
      <c r="E157" s="2"/>
      <c r="F157" s="2"/>
      <c r="G157" s="9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2"/>
      <c r="C158" s="2"/>
      <c r="D158" s="2"/>
      <c r="E158" s="2"/>
      <c r="F158" s="2"/>
      <c r="G158" s="9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2"/>
      <c r="C159" s="2"/>
      <c r="D159" s="2"/>
      <c r="E159" s="2"/>
      <c r="F159" s="2"/>
      <c r="G159" s="9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2"/>
      <c r="C160" s="2"/>
      <c r="D160" s="2"/>
      <c r="E160" s="2"/>
      <c r="F160" s="2"/>
      <c r="G160" s="9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2"/>
      <c r="C161" s="2"/>
      <c r="D161" s="2"/>
      <c r="E161" s="2"/>
      <c r="F161" s="2"/>
      <c r="G161" s="9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2"/>
      <c r="C162" s="2"/>
      <c r="D162" s="2"/>
      <c r="E162" s="2"/>
      <c r="F162" s="2"/>
      <c r="G162" s="9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2"/>
      <c r="C163" s="2"/>
      <c r="D163" s="2"/>
      <c r="E163" s="2"/>
      <c r="F163" s="2"/>
      <c r="G163" s="9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2"/>
      <c r="C164" s="2"/>
      <c r="D164" s="2"/>
      <c r="E164" s="2"/>
      <c r="F164" s="2"/>
      <c r="G164" s="9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2"/>
      <c r="C165" s="2"/>
      <c r="D165" s="2"/>
      <c r="E165" s="2"/>
      <c r="F165" s="2"/>
      <c r="G165" s="9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2"/>
      <c r="C166" s="2"/>
      <c r="D166" s="2"/>
      <c r="E166" s="2"/>
      <c r="F166" s="2"/>
      <c r="G166" s="9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2"/>
      <c r="C167" s="2"/>
      <c r="D167" s="2"/>
      <c r="E167" s="2"/>
      <c r="F167" s="2"/>
      <c r="G167" s="9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2"/>
      <c r="C168" s="2"/>
      <c r="D168" s="2"/>
      <c r="E168" s="2"/>
      <c r="F168" s="2"/>
      <c r="G168" s="9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2"/>
      <c r="C169" s="2"/>
      <c r="D169" s="2"/>
      <c r="E169" s="2"/>
      <c r="F169" s="2"/>
      <c r="G169" s="9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2"/>
      <c r="C170" s="2"/>
      <c r="D170" s="2"/>
      <c r="E170" s="2"/>
      <c r="F170" s="2"/>
      <c r="G170" s="9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2"/>
      <c r="C171" s="2"/>
      <c r="D171" s="2"/>
      <c r="E171" s="2"/>
      <c r="F171" s="2"/>
      <c r="G171" s="9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2"/>
      <c r="C172" s="2"/>
      <c r="D172" s="2"/>
      <c r="E172" s="2"/>
      <c r="F172" s="2"/>
      <c r="G172" s="9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2"/>
      <c r="C173" s="2"/>
      <c r="D173" s="2"/>
      <c r="E173" s="2"/>
      <c r="F173" s="2"/>
      <c r="G173" s="9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2"/>
      <c r="C174" s="2"/>
      <c r="D174" s="2"/>
      <c r="E174" s="2"/>
      <c r="F174" s="2"/>
      <c r="G174" s="9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2"/>
      <c r="C175" s="2"/>
      <c r="D175" s="2"/>
      <c r="E175" s="2"/>
      <c r="F175" s="2"/>
      <c r="G175" s="9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2"/>
      <c r="C176" s="2"/>
      <c r="D176" s="2"/>
      <c r="E176" s="2"/>
      <c r="F176" s="2"/>
      <c r="G176" s="9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2"/>
      <c r="C177" s="2"/>
      <c r="D177" s="2"/>
      <c r="E177" s="2"/>
      <c r="F177" s="2"/>
      <c r="G177" s="9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2"/>
      <c r="C178" s="2"/>
      <c r="D178" s="2"/>
      <c r="E178" s="2"/>
      <c r="F178" s="2"/>
      <c r="G178" s="9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2"/>
      <c r="C179" s="2"/>
      <c r="D179" s="2"/>
      <c r="E179" s="2"/>
      <c r="F179" s="2"/>
      <c r="G179" s="9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2"/>
      <c r="C180" s="2"/>
      <c r="D180" s="2"/>
      <c r="E180" s="2"/>
      <c r="F180" s="2"/>
      <c r="G180" s="9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2"/>
      <c r="C181" s="2"/>
      <c r="D181" s="2"/>
      <c r="E181" s="2"/>
      <c r="F181" s="2"/>
      <c r="G181" s="9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2"/>
      <c r="C182" s="2"/>
      <c r="D182" s="2"/>
      <c r="E182" s="2"/>
      <c r="F182" s="2"/>
      <c r="G182" s="9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2"/>
      <c r="C183" s="2"/>
      <c r="D183" s="2"/>
      <c r="E183" s="2"/>
      <c r="F183" s="2"/>
      <c r="G183" s="9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2"/>
      <c r="C184" s="2"/>
      <c r="D184" s="2"/>
      <c r="E184" s="2"/>
      <c r="F184" s="2"/>
      <c r="G184" s="9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2"/>
      <c r="C185" s="2"/>
      <c r="D185" s="2"/>
      <c r="E185" s="2"/>
      <c r="F185" s="2"/>
      <c r="G185" s="9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2"/>
      <c r="C186" s="2"/>
      <c r="D186" s="2"/>
      <c r="E186" s="2"/>
      <c r="F186" s="2"/>
      <c r="G186" s="9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2"/>
      <c r="C187" s="2"/>
      <c r="D187" s="2"/>
      <c r="E187" s="2"/>
      <c r="F187" s="2"/>
      <c r="G187" s="9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2"/>
      <c r="C188" s="2"/>
      <c r="D188" s="2"/>
      <c r="E188" s="2"/>
      <c r="F188" s="2"/>
      <c r="G188" s="9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2"/>
      <c r="C189" s="2"/>
      <c r="D189" s="2"/>
      <c r="E189" s="2"/>
      <c r="F189" s="2"/>
      <c r="G189" s="9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2"/>
      <c r="C190" s="2"/>
      <c r="D190" s="2"/>
      <c r="E190" s="2"/>
      <c r="F190" s="2"/>
      <c r="G190" s="9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2"/>
      <c r="C191" s="2"/>
      <c r="D191" s="2"/>
      <c r="E191" s="2"/>
      <c r="F191" s="2"/>
      <c r="G191" s="9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2"/>
      <c r="C192" s="2"/>
      <c r="D192" s="2"/>
      <c r="E192" s="2"/>
      <c r="F192" s="2"/>
      <c r="G192" s="9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2"/>
      <c r="C193" s="2"/>
      <c r="D193" s="2"/>
      <c r="E193" s="2"/>
      <c r="F193" s="2"/>
      <c r="G193" s="9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9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9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9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9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9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9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9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9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9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9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9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9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9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9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9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9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9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9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9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9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9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9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9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9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9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9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9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12.0"/>
    <col customWidth="1" min="4" max="4" width="18.0"/>
    <col customWidth="1" min="5" max="5" width="19.0"/>
    <col customWidth="1" min="6" max="6" width="47.86"/>
    <col customWidth="1" min="7" max="7" width="15.0"/>
    <col customWidth="1" min="8" max="8" width="19.0"/>
  </cols>
  <sheetData>
    <row r="1">
      <c r="A1" s="1" t="s">
        <v>1</v>
      </c>
      <c r="B1" s="1" t="s">
        <v>4</v>
      </c>
      <c r="C1" s="1" t="s">
        <v>2</v>
      </c>
      <c r="D1" s="1" t="s">
        <v>7</v>
      </c>
      <c r="E1" s="1" t="s">
        <v>6</v>
      </c>
      <c r="F1" s="1" t="s">
        <v>11</v>
      </c>
      <c r="G1" s="1" t="s">
        <v>13</v>
      </c>
      <c r="H1" s="1" t="s">
        <v>15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24</v>
      </c>
      <c r="B2" s="3" t="s">
        <v>27</v>
      </c>
      <c r="C2" s="3" t="s">
        <v>28</v>
      </c>
      <c r="D2" s="4">
        <v>46031.0</v>
      </c>
      <c r="E2" s="3" t="s">
        <v>30</v>
      </c>
      <c r="F2" s="6" t="s">
        <v>31</v>
      </c>
      <c r="G2" s="7">
        <v>-1000000.0</v>
      </c>
      <c r="H2" s="3" t="s">
        <v>32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19.0"/>
    <col customWidth="1" min="4" max="4" width="14.86"/>
    <col customWidth="1" min="5" max="5" width="34.43"/>
    <col customWidth="1" min="6" max="7" width="12.29"/>
    <col customWidth="1" min="8" max="8" width="51.57"/>
    <col customWidth="1" min="9" max="9" width="13.57"/>
  </cols>
  <sheetData>
    <row r="1">
      <c r="A1" s="1" t="s">
        <v>53</v>
      </c>
      <c r="B1" s="1" t="s">
        <v>0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11</v>
      </c>
      <c r="I1" s="1" t="s">
        <v>59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>
        <v>1.0</v>
      </c>
      <c r="B2" s="3" t="s">
        <v>27</v>
      </c>
      <c r="C2" s="3" t="s">
        <v>60</v>
      </c>
      <c r="D2" s="3" t="s">
        <v>30</v>
      </c>
      <c r="E2" s="3" t="s">
        <v>61</v>
      </c>
      <c r="F2" s="7">
        <v>1000000.0</v>
      </c>
      <c r="G2" s="2"/>
      <c r="H2" s="3" t="s">
        <v>62</v>
      </c>
      <c r="I2" s="6">
        <v>55.0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>
        <v>2.0</v>
      </c>
      <c r="B3" s="3" t="s">
        <v>27</v>
      </c>
      <c r="C3" s="3" t="s">
        <v>60</v>
      </c>
      <c r="D3" s="3" t="s">
        <v>30</v>
      </c>
      <c r="E3" s="3" t="s">
        <v>63</v>
      </c>
      <c r="F3" s="2"/>
      <c r="G3" s="7">
        <v>1000000.0</v>
      </c>
      <c r="H3" s="3" t="s">
        <v>62</v>
      </c>
      <c r="I3" s="6">
        <v>55.0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>
        <v>3.0</v>
      </c>
      <c r="B4" s="3" t="s">
        <v>27</v>
      </c>
      <c r="C4" s="3" t="s">
        <v>64</v>
      </c>
      <c r="D4" s="3" t="s">
        <v>65</v>
      </c>
      <c r="E4" s="3" t="s">
        <v>66</v>
      </c>
      <c r="F4" s="7">
        <v>8500.0</v>
      </c>
      <c r="G4" s="2"/>
      <c r="H4" s="3" t="s">
        <v>67</v>
      </c>
      <c r="I4" s="6">
        <v>56.0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7">
        <v>4.0</v>
      </c>
      <c r="B5" s="3" t="s">
        <v>27</v>
      </c>
      <c r="C5" s="3" t="s">
        <v>64</v>
      </c>
      <c r="D5" s="3" t="s">
        <v>65</v>
      </c>
      <c r="E5" s="3" t="s">
        <v>68</v>
      </c>
      <c r="F5" s="3"/>
      <c r="G5" s="7">
        <v>8500.0</v>
      </c>
      <c r="H5" s="3" t="s">
        <v>67</v>
      </c>
      <c r="I5" s="6">
        <v>56.0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0.86"/>
    <col customWidth="1" min="4" max="6" width="14.43"/>
  </cols>
  <sheetData>
    <row r="1">
      <c r="A1" s="1" t="s">
        <v>69</v>
      </c>
      <c r="B1" s="1" t="s">
        <v>70</v>
      </c>
      <c r="C1" s="1" t="s">
        <v>17</v>
      </c>
      <c r="D1" s="1" t="s">
        <v>71</v>
      </c>
    </row>
    <row r="2">
      <c r="A2" s="6">
        <v>1.0</v>
      </c>
      <c r="B2" s="3" t="s">
        <v>28</v>
      </c>
      <c r="C2" s="4">
        <v>46265.0</v>
      </c>
      <c r="D2" s="9">
        <f>reconciliations!G2</f>
        <v>3500000</v>
      </c>
    </row>
    <row r="3">
      <c r="A3" s="6">
        <v>1.0</v>
      </c>
      <c r="B3" s="3" t="s">
        <v>28</v>
      </c>
      <c r="C3" s="4">
        <v>46266.0</v>
      </c>
      <c r="D3" s="9">
        <f>SUM(reconciliations!G2:G5)</f>
        <v>2500345</v>
      </c>
    </row>
    <row r="4">
      <c r="A4" s="6">
        <v>1.0</v>
      </c>
      <c r="B4" s="3" t="s">
        <v>28</v>
      </c>
      <c r="C4" s="4">
        <v>46267.0</v>
      </c>
    </row>
    <row r="5">
      <c r="A5" s="6">
        <v>1.0</v>
      </c>
      <c r="B5" s="3" t="s">
        <v>28</v>
      </c>
      <c r="C5" s="4">
        <v>46268.0</v>
      </c>
    </row>
    <row r="6">
      <c r="A6" s="6">
        <v>1.0</v>
      </c>
      <c r="B6" s="3" t="s">
        <v>28</v>
      </c>
      <c r="C6" s="4">
        <v>46269.0</v>
      </c>
    </row>
    <row r="7">
      <c r="A7" s="6">
        <v>1.0</v>
      </c>
      <c r="B7" s="3" t="s">
        <v>28</v>
      </c>
      <c r="C7" s="4">
        <v>46270.0</v>
      </c>
    </row>
    <row r="8">
      <c r="A8" s="6">
        <v>1.0</v>
      </c>
      <c r="B8" s="3" t="s">
        <v>28</v>
      </c>
      <c r="C8" s="4">
        <v>46271.0</v>
      </c>
    </row>
    <row r="9">
      <c r="A9" s="6">
        <v>1.0</v>
      </c>
      <c r="B9" s="3" t="s">
        <v>28</v>
      </c>
      <c r="C9" s="4">
        <v>46272.0</v>
      </c>
    </row>
    <row r="10">
      <c r="A10" s="6">
        <v>1.0</v>
      </c>
      <c r="B10" s="3" t="s">
        <v>28</v>
      </c>
      <c r="C10" s="4">
        <v>46273.0</v>
      </c>
    </row>
    <row r="11">
      <c r="A11" s="6">
        <v>1.0</v>
      </c>
      <c r="B11" s="3" t="s">
        <v>28</v>
      </c>
      <c r="C11" s="4">
        <v>46274.0</v>
      </c>
    </row>
    <row r="12">
      <c r="A12" s="6">
        <v>1.0</v>
      </c>
      <c r="B12" s="3" t="s">
        <v>28</v>
      </c>
      <c r="C12" s="4">
        <v>46275.0</v>
      </c>
    </row>
    <row r="13">
      <c r="A13" s="6">
        <v>1.0</v>
      </c>
      <c r="B13" s="3" t="s">
        <v>28</v>
      </c>
      <c r="C13" s="4">
        <v>46276.0</v>
      </c>
    </row>
    <row r="14">
      <c r="A14" s="6">
        <v>1.0</v>
      </c>
      <c r="B14" s="3" t="s">
        <v>28</v>
      </c>
      <c r="C14" s="4">
        <v>46277.0</v>
      </c>
    </row>
    <row r="15">
      <c r="A15" s="6">
        <v>1.0</v>
      </c>
      <c r="B15" s="3" t="s">
        <v>28</v>
      </c>
      <c r="C15" s="4">
        <v>46278.0</v>
      </c>
    </row>
    <row r="16">
      <c r="A16" s="6">
        <v>1.0</v>
      </c>
      <c r="B16" s="3" t="s">
        <v>28</v>
      </c>
      <c r="C16" s="4">
        <v>46279.0</v>
      </c>
    </row>
    <row r="17">
      <c r="C17" s="2"/>
    </row>
    <row r="18">
      <c r="C18" s="2"/>
    </row>
    <row r="19">
      <c r="C19" s="2"/>
    </row>
    <row r="20">
      <c r="C20" s="2"/>
    </row>
    <row r="21" ht="15.75" customHeight="1">
      <c r="C21" s="2"/>
    </row>
    <row r="22" ht="15.75" customHeight="1">
      <c r="C22" s="2"/>
    </row>
    <row r="23" ht="15.75" customHeight="1">
      <c r="C23" s="2"/>
    </row>
    <row r="24" ht="15.75" customHeight="1">
      <c r="C24" s="2"/>
    </row>
    <row r="25" ht="15.75" customHeight="1">
      <c r="C25" s="2"/>
    </row>
    <row r="26" ht="15.75" customHeight="1">
      <c r="C26" s="2"/>
    </row>
    <row r="27" ht="15.75" customHeight="1">
      <c r="C27" s="2"/>
    </row>
    <row r="28" ht="15.75" customHeight="1">
      <c r="C28" s="2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2.0"/>
    <col customWidth="1" min="5" max="5" width="64.0"/>
    <col customWidth="1" min="6" max="6" width="8.71"/>
  </cols>
  <sheetData>
    <row r="1">
      <c r="A1" s="1" t="s">
        <v>72</v>
      </c>
      <c r="B1" s="1" t="s">
        <v>73</v>
      </c>
      <c r="C1" s="1" t="s">
        <v>74</v>
      </c>
      <c r="D1" s="1" t="s">
        <v>75</v>
      </c>
      <c r="E1" s="1" t="s">
        <v>11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76</v>
      </c>
      <c r="B2" s="7">
        <v>0.0</v>
      </c>
      <c r="C2" s="7">
        <v>180.0</v>
      </c>
      <c r="D2" s="7">
        <v>22.5</v>
      </c>
      <c r="E2" s="3" t="s">
        <v>77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76</v>
      </c>
      <c r="B3" s="7">
        <v>181.0</v>
      </c>
      <c r="C3" s="7">
        <v>360.0</v>
      </c>
      <c r="D3" s="7">
        <v>20.0</v>
      </c>
      <c r="E3" s="3" t="s">
        <v>78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76</v>
      </c>
      <c r="B4" s="7">
        <v>361.0</v>
      </c>
      <c r="C4" s="7">
        <v>720.0</v>
      </c>
      <c r="D4" s="7">
        <v>17.5</v>
      </c>
      <c r="E4" s="3" t="s">
        <v>79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76</v>
      </c>
      <c r="B5" s="7">
        <v>721.0</v>
      </c>
      <c r="C5" s="7">
        <v>9999.0</v>
      </c>
      <c r="D5" s="7">
        <v>15.0</v>
      </c>
      <c r="E5" s="3" t="s">
        <v>80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81</v>
      </c>
      <c r="B6" s="1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2026-09-27T20:36:46Z</dcterms:created>
  <dc:creator>openpyxl</dc:creator>
</cp:coreProperties>
</file>